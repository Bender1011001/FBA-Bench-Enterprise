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164" fontId="1" fillId="0" borderId="1"/>
    <xf numFmtId="10" fontId="1" fillId="0" borderId="1"/>
    <xf numFmtId="2" fontId="1" fillId="0" borderId="1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1" fillId="0" borderId="1" pivotButton="0" quotePrefix="0" xfId="1"/>
    <xf numFmtId="10" fontId="1" fillId="0" borderId="1" pivotButton="0" quotePrefix="0" xfId="2"/>
    <xf numFmtId="0" fontId="0" fillId="0" borderId="0" applyAlignment="1" pivotButton="0" quotePrefix="0" xfId="0">
      <alignment wrapText="1"/>
    </xf>
    <xf numFmtId="2" fontId="1" fillId="0" borderId="1" pivotButton="0" quotePrefix="0" xfId="3"/>
  </cellXfs>
  <cellStyles count="4">
    <cellStyle name="Normal" xfId="0" builtinId="0" hidden="0"/>
    <cellStyle name="currency" xfId="1" hidden="0"/>
    <cellStyle name="percent" xfId="2" hidden="0"/>
    <cellStyle name="decimal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48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Current_eval_hours_per_month</t>
        </is>
      </c>
      <c r="B2" t="n">
        <v>500</v>
      </c>
      <c r="C2" t="inlineStr">
        <is>
          <t>number</t>
        </is>
      </c>
      <c r="D2" t="inlineStr">
        <is>
          <t>Current monthly evaluation hours (placeholder)</t>
        </is>
      </c>
    </row>
    <row r="3">
      <c r="A3" t="inlineStr">
        <is>
          <t>Hourly_cost</t>
        </is>
      </c>
      <c r="B3" s="2" t="n">
        <v>100</v>
      </c>
      <c r="C3" t="inlineStr">
        <is>
          <t>number</t>
        </is>
      </c>
      <c r="D3" t="inlineStr">
        <is>
          <t>USD per hour (fully loaded labor cost)</t>
        </is>
      </c>
    </row>
    <row r="4">
      <c r="A4" t="inlineStr">
        <is>
          <t>Current_tool_cost_per_month</t>
        </is>
      </c>
      <c r="B4" s="2" t="n">
        <v>20000</v>
      </c>
      <c r="C4" t="inlineStr">
        <is>
          <t>number</t>
        </is>
      </c>
      <c r="D4" t="inlineStr">
        <is>
          <t>Current monthly tool subscription cost</t>
        </is>
      </c>
    </row>
    <row r="5">
      <c r="A5" t="inlineStr">
        <is>
          <t>Error_rate</t>
        </is>
      </c>
      <c r="B5" t="n">
        <v>0.15</v>
      </c>
      <c r="C5" t="inlineStr">
        <is>
          <t>percent</t>
        </is>
      </c>
      <c r="D5" t="inlineStr">
        <is>
          <t>Current error rate in evaluations (%)</t>
        </is>
      </c>
    </row>
    <row r="6">
      <c r="A6" t="inlineStr">
        <is>
          <t>Revenue_at_risk_per_error</t>
        </is>
      </c>
      <c r="B6" s="2" t="n">
        <v>50000</v>
      </c>
      <c r="C6" t="inlineStr">
        <is>
          <t>number</t>
        </is>
      </c>
      <c r="D6" t="inlineStr">
        <is>
          <t>Revenue at risk per error (USD)</t>
        </is>
      </c>
    </row>
    <row r="7">
      <c r="A7" t="inlineStr">
        <is>
          <t>Expected_hours_reduction_pct</t>
        </is>
      </c>
      <c r="B7" s="3" t="n">
        <v>0.6</v>
      </c>
      <c r="C7" t="inlineStr">
        <is>
          <t>percent</t>
        </is>
      </c>
      <c r="D7" t="inlineStr">
        <is>
          <t>Expected % reduction in hours (e.g., 60%)</t>
        </is>
      </c>
    </row>
    <row r="8">
      <c r="A8" t="inlineStr">
        <is>
          <t>Expected_tool_cost_reduction_pct</t>
        </is>
      </c>
      <c r="B8" s="3" t="n">
        <v>0.5</v>
      </c>
      <c r="C8" t="inlineStr">
        <is>
          <t>percent</t>
        </is>
      </c>
      <c r="D8" t="inlineStr">
        <is>
          <t>Expected % reduction in tool costs (e.g., 50%)</t>
        </is>
      </c>
    </row>
    <row r="9">
      <c r="A9" t="inlineStr">
        <is>
          <t>Expected_error_reduction_pct</t>
        </is>
      </c>
      <c r="B9" s="3" t="n">
        <v>0.8</v>
      </c>
      <c r="C9" t="inlineStr">
        <is>
          <t>percent</t>
        </is>
      </c>
      <c r="D9" t="inlineStr">
        <is>
          <t>Expected % reduction in errors (e.g., 80%)</t>
        </is>
      </c>
    </row>
    <row r="10">
      <c r="A10" t="inlineStr">
        <is>
          <t>Revenue_uplift_per_month</t>
        </is>
      </c>
      <c r="B10" s="2" t="n">
        <v>100000</v>
      </c>
      <c r="C10" t="inlineStr">
        <is>
          <t>number</t>
        </is>
      </c>
      <c r="D10" t="inlineStr">
        <is>
          <t>Expected monthly revenue uplift (USD)</t>
        </is>
      </c>
    </row>
    <row r="11">
      <c r="A11" t="inlineStr">
        <is>
          <t>Investment_cost</t>
        </is>
      </c>
      <c r="B11" s="2" t="n">
        <v>50000</v>
      </c>
      <c r="C11" t="inlineStr">
        <is>
          <t>number</t>
        </is>
      </c>
      <c r="D11" t="inlineStr">
        <is>
          <t>One-time or annual investment cost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Formula/Notes</t>
        </is>
      </c>
    </row>
    <row r="2">
      <c r="A2" t="inlineStr">
        <is>
          <t>Hours_saved</t>
        </is>
      </c>
      <c r="B2">
        <f>Inputs!B2*Inputs!B6</f>
        <v/>
      </c>
      <c r="C2" s="4" t="inlineStr">
        <is>
          <t>Current_eval_hours_per_month * Expected_hours_reduction_pct</t>
        </is>
      </c>
    </row>
    <row r="3">
      <c r="A3" t="inlineStr">
        <is>
          <t>Labor_savings</t>
        </is>
      </c>
      <c r="B3" s="2">
        <f>B2*Inputs!B3</f>
        <v/>
      </c>
      <c r="C3" s="4" t="inlineStr">
        <is>
          <t>Hours_saved * Hourly_cost (monthly)</t>
        </is>
      </c>
    </row>
    <row r="4">
      <c r="A4" t="inlineStr">
        <is>
          <t>Tool_savings</t>
        </is>
      </c>
      <c r="B4" s="2">
        <f>Inputs!B4*Inputs!B7</f>
        <v/>
      </c>
      <c r="C4" s="4" t="inlineStr">
        <is>
          <t>Current_tool_cost_per_month * Expected_tool_cost_reduction_pct (monthly)</t>
        </is>
      </c>
    </row>
    <row r="5">
      <c r="A5" t="inlineStr">
        <is>
          <t>Error_cost_avoidance</t>
        </is>
      </c>
      <c r="B5" s="2">
        <f>(Inputs!B2*Inputs!B4)*Inputs!B5*Inputs!B8</f>
        <v/>
      </c>
      <c r="C5" s="4" t="inlineStr">
        <is>
          <t>(Current_eval_hours_per_month * Error_rate) * Revenue_at_risk_per_error * Expected_error_reduction_pct (monthly)</t>
        </is>
      </c>
    </row>
    <row r="6">
      <c r="A6" t="inlineStr">
        <is>
          <t>Revenue_uplift_per_month</t>
        </is>
      </c>
      <c r="B6">
        <f>Inputs!B9</f>
        <v/>
      </c>
      <c r="C6" s="4" t="inlineStr">
        <is>
          <t>From Inputs (monthly)</t>
        </is>
      </c>
    </row>
    <row r="7">
      <c r="A7" t="inlineStr">
        <is>
          <t>Total_savings</t>
        </is>
      </c>
      <c r="B7" s="2">
        <f>SUM(B2:B6)</f>
        <v/>
      </c>
      <c r="C7" s="4" t="inlineStr">
        <is>
          <t>Sum of monthly savings components</t>
        </is>
      </c>
    </row>
    <row r="8">
      <c r="A8" t="inlineStr">
        <is>
          <t>Investment_cost</t>
        </is>
      </c>
      <c r="B8" s="2">
        <f>Inputs!B10</f>
        <v/>
      </c>
      <c r="C8" s="4" t="inlineStr">
        <is>
          <t>From Inputs</t>
        </is>
      </c>
    </row>
    <row r="9">
      <c r="A9" t="inlineStr">
        <is>
          <t>Net_benefit</t>
        </is>
      </c>
      <c r="B9" s="2">
        <f>B7-B9</f>
        <v/>
      </c>
      <c r="C9" s="4" t="inlineStr">
        <is>
          <t>Total_savings - Investment_cost (monthly net)</t>
        </is>
      </c>
    </row>
    <row r="10">
      <c r="A10" t="inlineStr">
        <is>
          <t>ROI_pct</t>
        </is>
      </c>
      <c r="B10" s="5">
        <f>IF(B9=0, "", B8/B9)</f>
        <v/>
      </c>
      <c r="C10" s="4" t="inlineStr">
        <is>
          <t>Net_benefit / Investment_cost</t>
        </is>
      </c>
    </row>
    <row r="11">
      <c r="A11" t="inlineStr">
        <is>
          <t>Payback_months</t>
        </is>
      </c>
      <c r="B11" s="5">
        <f>IF(B8&lt;=0, "", B9 / (B7/12))</f>
        <v/>
      </c>
      <c r="C11" s="4" t="inlineStr">
        <is>
          <t>Investment_cost / (Total_savings/12)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3" customWidth="1" min="3" max="3"/>
  </cols>
  <sheetData>
    <row r="1">
      <c r="A1" t="inlineStr">
        <is>
          <t>Sample Inputs - Use these as starting point for demos (placeholders only)</t>
        </is>
      </c>
    </row>
    <row r="2"/>
    <row r="3">
      <c r="A3" t="inlineStr">
        <is>
          <t>Current_eval_hours_per_month</t>
        </is>
      </c>
      <c r="B3" t="n">
        <v>500</v>
      </c>
      <c r="C3" t="inlineStr">
        <is>
          <t>hours/month</t>
        </is>
      </c>
    </row>
    <row r="4">
      <c r="A4" t="inlineStr">
        <is>
          <t>Hourly_cost</t>
        </is>
      </c>
      <c r="B4" t="n">
        <v>100</v>
      </c>
      <c r="C4" t="inlineStr">
        <is>
          <t>$/hour</t>
        </is>
      </c>
    </row>
    <row r="5">
      <c r="A5" t="inlineStr">
        <is>
          <t>Current_tool_cost_per_month</t>
        </is>
      </c>
      <c r="B5" t="n">
        <v>20000</v>
      </c>
      <c r="C5" t="inlineStr">
        <is>
          <t>$/month</t>
        </is>
      </c>
    </row>
    <row r="6">
      <c r="A6" t="inlineStr">
        <is>
          <t>Error_rate</t>
        </is>
      </c>
      <c r="B6" t="n">
        <v>15</v>
      </c>
      <c r="C6" t="inlineStr">
        <is>
          <t>%</t>
        </is>
      </c>
    </row>
    <row r="7">
      <c r="A7" t="inlineStr">
        <is>
          <t>Revenue_at_risk_per_error</t>
        </is>
      </c>
      <c r="B7" t="n">
        <v>50000</v>
      </c>
      <c r="C7" t="inlineStr">
        <is>
          <t>$</t>
        </is>
      </c>
    </row>
    <row r="8">
      <c r="A8" t="inlineStr">
        <is>
          <t>Expected_hours_reduction_pct</t>
        </is>
      </c>
      <c r="B8" t="n">
        <v>60</v>
      </c>
      <c r="C8" t="inlineStr">
        <is>
          <t>%</t>
        </is>
      </c>
    </row>
    <row r="9">
      <c r="A9" t="inlineStr">
        <is>
          <t>Expected_tool_cost_reduction_pct</t>
        </is>
      </c>
      <c r="B9" t="n">
        <v>50</v>
      </c>
      <c r="C9" t="inlineStr">
        <is>
          <t>%</t>
        </is>
      </c>
    </row>
    <row r="10">
      <c r="A10" t="inlineStr">
        <is>
          <t>Expected_error_reduction_pct</t>
        </is>
      </c>
      <c r="B10" t="n">
        <v>80</v>
      </c>
      <c r="C10" t="inlineStr">
        <is>
          <t>%</t>
        </is>
      </c>
    </row>
    <row r="11">
      <c r="A11" t="inlineStr">
        <is>
          <t>Revenue_uplift_per_month</t>
        </is>
      </c>
      <c r="B11" t="n">
        <v>100000</v>
      </c>
      <c r="C11" t="inlineStr">
        <is>
          <t>$/month</t>
        </is>
      </c>
    </row>
    <row r="12">
      <c r="A12" t="inlineStr">
        <is>
          <t>Investment_cost</t>
        </is>
      </c>
      <c r="B12" t="n">
        <v>50000</v>
      </c>
      <c r="C12" t="inlineStr">
        <is>
          <t>$</t>
        </is>
      </c>
    </row>
    <row r="13"/>
    <row r="14">
      <c r="A14" t="inlineStr">
        <is>
          <t>Note: These are example values. Results sheet will compute based on these inputs. No real data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2025-09-30T04:54:03Z</dcterms:created>
  <dcterms:modified xmlns:dcterms="http://purl.org/dc/terms/" xmlns:xsi="http://www.w3.org/2001/XMLSchema-instance" xsi:type="dcterms:W3CDTF">2025-09-30T04:54:03Z</dcterms:modified>
</cp:coreProperties>
</file>